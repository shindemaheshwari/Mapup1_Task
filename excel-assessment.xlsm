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ac74ee2ca2cdf24/Desktop/Mapup1_Task-main/"/>
    </mc:Choice>
  </mc:AlternateContent>
  <xr:revisionPtr revIDLastSave="1" documentId="13_ncr:1_{48EB4397-F178-E54E-B28D-22A41FCA72D2}" xr6:coauthVersionLast="47" xr6:coauthVersionMax="47" xr10:uidLastSave="{62B02F44-3BA0-409D-9AB2-74E74296CBAC}"/>
  <bookViews>
    <workbookView xWindow="-120" yWindow="-120" windowWidth="29040" windowHeight="15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6" l="1" a="1"/>
  <c r="B16" i="16" s="1"/>
  <c r="H14" i="16" s="1"/>
  <c r="C22" i="19"/>
  <c r="B17" i="16" a="1"/>
  <c r="B17" i="16" s="1"/>
  <c r="B18" i="16" a="1"/>
  <c r="B18" i="16" s="1"/>
  <c r="B19" i="16" a="1"/>
  <c r="B19" i="16" s="1"/>
  <c r="B20" i="16" a="1"/>
  <c r="B20" i="16" s="1"/>
  <c r="B21" i="16" a="1"/>
  <c r="B21" i="16" s="1"/>
  <c r="B22" i="16" a="1"/>
  <c r="B22" i="16" s="1"/>
  <c r="B23" i="16" a="1"/>
  <c r="B23" i="16" s="1"/>
  <c r="B24" i="16" a="1"/>
  <c r="B24" i="16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B39" i="16" a="1"/>
  <c r="B39" i="16" s="1"/>
  <c r="B40" i="16" a="1"/>
  <c r="B40" i="16" s="1"/>
  <c r="B41" i="16" a="1"/>
  <c r="B41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F30" i="18"/>
  <c r="F29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30" i="18"/>
  <c r="E29" i="18"/>
  <c r="E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30" i="18"/>
  <c r="D29" i="18"/>
  <c r="D28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30" i="18"/>
  <c r="C29" i="18"/>
  <c r="C28" i="18"/>
  <c r="B30" i="18"/>
  <c r="B29" i="18"/>
  <c r="B28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<sst xmlns="http://schemas.openxmlformats.org/spreadsheetml/2006/main" count="327" uniqueCount="182">
  <si>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</si>
  <si>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</si>
  <si>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</si>
  <si>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</si>
  <si>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</si>
  <si>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</si>
  <si>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</si>
  <si>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</si>
  <si>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</si>
  <si>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</si>
  <si>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</si>
  <si>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</si>
  <si>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</si>
  <si>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</si>
  <si>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</si>
  <si>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</si>
  <si>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</si>
  <si>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</si>
  <si>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</si>
  <si>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</si>
  <si>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</si>
  <si>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</si>
  <si>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</si>
  <si>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</si>
  <si>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</si>
  <si>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</si>
  <si>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</si>
  <si>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</si>
  <si>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</si>
  <si>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</si>
  <si>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</si>
  <si>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</si>
  <si>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</si>
  <si>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</si>
  <si>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</si>
  <si>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</si>
  <si>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</si>
  <si>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</si>
  <si>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</si>
  <si>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</si>
  <si>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</si>
  <si>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</si>
  <si>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</si>
  <si>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</si>
  <si>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</si>
  <si>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</si>
  <si>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</si>
  <si>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</si>
  <si>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</si>
  <si>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</si>
  <si>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</si>
  <si>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</si>
  <si>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</si>
  <si>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</si>
  <si>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</si>
  <si>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</si>
  <si>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</si>
  <si>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</si>
  <si>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</si>
  <si>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</si>
  <si>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</si>
  <si>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</si>
  <si>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</si>
  <si>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</si>
  <si>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</si>
  <si>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</si>
  <si>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</si>
  <si>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</si>
  <si>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</si>
  <si>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</si>
  <si>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</si>
  <si>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</si>
  <si>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</si>
  <si>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</si>
  <si>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</si>
  <si>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</si>
  <si>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</si>
  <si>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</si>
  <si>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</si>
  <si>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</si>
  <si>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</si>
  <si>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</si>
  <si>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</si>
  <si>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</si>
  <si>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</si>
  <si>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</si>
  <si>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</si>
  <si>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</si>
  <si>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</si>
  <si>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</si>
  <si>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</si>
  <si>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</si>
  <si>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</si>
  <si>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</si>
  <si>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</si>
  <si>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</si>
  <si>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</si>
  <si>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</si>
  <si>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</si>
  <si>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</si>
  <si>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</si>
  <si>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</si>
  <si>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</si>
  <si>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</si>
  <si>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</si>
  <si>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</si>
  <si>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</si>
  <si>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</si>
  <si>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</si>
  <si>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</si>
  <si>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</si>
  <si>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</si>
  <si>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</si>
  <si>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</si>
  <si>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</si>
  <si>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</si>
  <si>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</si>
  <si>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</si>
  <si>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</si>
  <si>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</si>
  <si>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</si>
  <si>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</si>
  <si>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</si>
  <si>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</si>
  <si>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</si>
  <si>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</si>
  <si>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</si>
  <si>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</si>
  <si>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</si>
  <si>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</si>
  <si>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</si>
  <si>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</si>
  <si>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</si>
  <si>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</si>
  <si>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</si>
  <si>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</si>
  <si>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</si>
  <si>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</si>
  <si>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</si>
  <si>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</si>
  <si>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</si>
  <si>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</si>
  <si>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</si>
  <si>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</si>
  <si>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</si>
  <si>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</si>
  <si>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</si>
  <si>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</si>
  <si>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</si>
  <si>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</si>
  <si>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</si>
  <si>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</si>
  <si>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</si>
  <si>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</si>
  <si>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</si>
  <si>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</si>
  <si>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</si>
  <si>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</si>
  <si>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</si>
  <si>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</si>
  <si>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</si>
  <si>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</si>
  <si>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</si>
  <si>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</si>
  <si>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</si>
  <si>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</si>
  <si>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</si>
  <si>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</si>
  <si>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</si>
  <si>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</si>
  <si>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</si>
  <si>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</si>
  <si>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</si>
  <si>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</si>
  <si>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</si>
  <si>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</si>
  <si>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</si>
  <si>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#=SUMIF(H:H, "&gt;20")</t>
  </si>
  <si>
    <t>function in Excel to split a text string based on a delimiter</t>
  </si>
  <si>
    <t>TEXTSPLIT</t>
  </si>
  <si>
    <t>sum Find&amp;Replace</t>
  </si>
  <si>
    <t>SUM function is used to add up a range of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</si>
</sst>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4" fontId="4" fillId="6" borderId="0" xfId="0" applyNumberFormat="1" applyFont="1" applyFill="1"/>
    <xf numFmtId="164" fontId="3" fillId="6" borderId="0" xfId="0" applyNumberFormat="1" applyFont="1" applyFill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C1" zoomScaleNormal="100" workbookViewId="0">
      <pane ySplit="1" topLeftCell="A7" activePane="bottomLeft" state="frozen"/>
      <selection pane="bottomLeft" activeCell="N9" sqref="N9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46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8" bestFit="1" customWidth="1"/>
    <col min="25" max="25" width="9.83203125" style="1" bestFit="1" customWidth="1"/>
    <col min="26" max="16384" width="9" style="1"/>
  </cols>
  <sheetData>
    <row r="1" spans="1:25" s="3" customFormat="1" ht="14.85" customHeight="1" x14ac:dyDescent="0.25">
      <c r="A1" s="26" t="s">
        <v>64</v>
      </c>
      <c r="B1" s="26" t="s">
        <v>43</v>
      </c>
      <c r="C1" s="26" t="s">
        <v>0</v>
      </c>
      <c r="D1" s="45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7" t="s">
        <v>105</v>
      </c>
    </row>
    <row r="2" spans="1:25" x14ac:dyDescent="0.25">
      <c r="A2" s="1" t="s">
        <v>40</v>
      </c>
      <c r="B2" s="1">
        <v>20000</v>
      </c>
      <c r="C2" s="1" t="s">
        <v>5</v>
      </c>
      <c r="D2" s="46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  <c r="Y2" s="1">
        <f>SUMIF(Dataset!H1:H1, "&gt;20")</f>
        <v>0</v>
      </c>
    </row>
    <row r="3" spans="1:25" x14ac:dyDescent="0.25">
      <c r="A3" s="1" t="s">
        <v>4</v>
      </c>
      <c r="B3" s="1">
        <v>20002</v>
      </c>
      <c r="C3" s="1" t="s">
        <v>5</v>
      </c>
      <c r="D3" s="46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  <c r="Y3" s="1">
        <f>SUMIF(Dataset!H2:H2, "&gt;20")</f>
        <v>0</v>
      </c>
    </row>
    <row r="4" spans="1:25" x14ac:dyDescent="0.25">
      <c r="A4" s="1" t="s">
        <v>7</v>
      </c>
      <c r="B4" s="1">
        <v>20004</v>
      </c>
      <c r="C4" s="1" t="s">
        <v>5</v>
      </c>
      <c r="D4" s="46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  <c r="Y4" s="1">
        <f>SUMIF(Dataset!H3:H3, "&gt;20")</f>
        <v>0</v>
      </c>
    </row>
    <row r="5" spans="1:25" x14ac:dyDescent="0.25">
      <c r="A5" s="1" t="s">
        <v>8</v>
      </c>
      <c r="B5" s="1">
        <v>20006</v>
      </c>
      <c r="C5" s="1" t="s">
        <v>5</v>
      </c>
      <c r="D5" s="46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  <c r="Y5" s="1">
        <f>SUMIF(Dataset!H4:H4, "&gt;20")</f>
        <v>0</v>
      </c>
    </row>
    <row r="6" spans="1:25" x14ac:dyDescent="0.25">
      <c r="A6" s="1" t="s">
        <v>9</v>
      </c>
      <c r="B6" s="1">
        <v>20008</v>
      </c>
      <c r="C6" s="1" t="s">
        <v>5</v>
      </c>
      <c r="D6" s="46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  <c r="Y6" s="1">
        <f>SUMIF(Dataset!H5:H5, "&gt;20")</f>
        <v>0</v>
      </c>
    </row>
    <row r="7" spans="1:25" x14ac:dyDescent="0.25">
      <c r="A7" s="1" t="s">
        <v>10</v>
      </c>
      <c r="B7" s="1">
        <v>20010</v>
      </c>
      <c r="C7" s="1" t="s">
        <v>5</v>
      </c>
      <c r="D7" s="46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  <c r="Y7" s="1">
        <f>SUMIF(Dataset!H6:H6, "&gt;20")</f>
        <v>0</v>
      </c>
    </row>
    <row r="8" spans="1:25" x14ac:dyDescent="0.25">
      <c r="A8" s="1" t="s">
        <v>11</v>
      </c>
      <c r="B8" s="1">
        <v>20012</v>
      </c>
      <c r="C8" s="1" t="s">
        <v>5</v>
      </c>
      <c r="D8" s="46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  <c r="Y8" s="1">
        <f>SUMIF(Dataset!H7:H7, "&gt;20")</f>
        <v>0</v>
      </c>
    </row>
    <row r="9" spans="1:25" x14ac:dyDescent="0.25">
      <c r="A9" s="1" t="s">
        <v>12</v>
      </c>
      <c r="B9" s="1">
        <v>20014</v>
      </c>
      <c r="C9" s="1" t="s">
        <v>5</v>
      </c>
      <c r="D9" s="46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  <c r="Y9" s="1">
        <f>SUMIF(Dataset!H8:H8, "&gt;20")</f>
        <v>0</v>
      </c>
    </row>
    <row r="10" spans="1:25" x14ac:dyDescent="0.25">
      <c r="A10" s="1" t="s">
        <v>13</v>
      </c>
      <c r="B10" s="1">
        <v>20016</v>
      </c>
      <c r="C10" s="1" t="s">
        <v>5</v>
      </c>
      <c r="D10" s="46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  <c r="Y10" s="1">
        <f>SUMIF(Dataset!H9:H9, "&gt;20")</f>
        <v>0</v>
      </c>
    </row>
    <row r="11" spans="1:25" x14ac:dyDescent="0.25">
      <c r="A11" s="1" t="s">
        <v>14</v>
      </c>
      <c r="B11" s="1">
        <v>20018</v>
      </c>
      <c r="C11" s="1" t="s">
        <v>5</v>
      </c>
      <c r="D11" s="46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  <c r="Y11" s="1">
        <f>SUMIF(Dataset!H10:H10, "&gt;20")</f>
        <v>24.1</v>
      </c>
    </row>
    <row r="12" spans="1:25" x14ac:dyDescent="0.25">
      <c r="A12" s="1" t="s">
        <v>15</v>
      </c>
      <c r="B12" s="1">
        <v>20020</v>
      </c>
      <c r="C12" s="1" t="s">
        <v>5</v>
      </c>
      <c r="D12" s="46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  <c r="Y12" s="1">
        <f>SUMIF(Dataset!H11:H11, "&gt;20")</f>
        <v>27.5</v>
      </c>
    </row>
    <row r="13" spans="1:25" x14ac:dyDescent="0.25">
      <c r="A13" s="1" t="s">
        <v>16</v>
      </c>
      <c r="B13" s="1">
        <v>20022</v>
      </c>
      <c r="C13" s="1" t="s">
        <v>5</v>
      </c>
      <c r="D13" s="46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  <c r="Y13" s="1">
        <f>SUMIF(Dataset!H12:H12, "&gt;20")</f>
        <v>0</v>
      </c>
    </row>
    <row r="14" spans="1:25" x14ac:dyDescent="0.25">
      <c r="A14" s="1" t="s">
        <v>17</v>
      </c>
      <c r="B14" s="1">
        <v>20024</v>
      </c>
      <c r="C14" s="1" t="s">
        <v>5</v>
      </c>
      <c r="D14" s="46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  <c r="Y14" s="1">
        <f>SUMIF(Dataset!H13:H13, "&gt;20")</f>
        <v>32.1</v>
      </c>
    </row>
    <row r="15" spans="1:25" x14ac:dyDescent="0.25">
      <c r="A15" s="1" t="s">
        <v>18</v>
      </c>
      <c r="B15" s="1">
        <v>20026</v>
      </c>
      <c r="C15" s="1" t="s">
        <v>5</v>
      </c>
      <c r="D15" s="46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  <c r="Y15" s="1">
        <f>SUMIF(Dataset!H14:H14, "&gt;20")</f>
        <v>34.700000000000003</v>
      </c>
    </row>
    <row r="16" spans="1:25" x14ac:dyDescent="0.25">
      <c r="A16" s="1" t="s">
        <v>19</v>
      </c>
      <c r="B16" s="1">
        <v>20028</v>
      </c>
      <c r="C16" s="1" t="s">
        <v>5</v>
      </c>
      <c r="D16" s="46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  <c r="Y16" s="1">
        <f>SUMIF(Dataset!H15:H15, "&gt;20")</f>
        <v>39.299999999999997</v>
      </c>
    </row>
    <row r="17" spans="1:25" x14ac:dyDescent="0.25">
      <c r="A17" s="1" t="s">
        <v>20</v>
      </c>
      <c r="B17" s="1">
        <v>20030</v>
      </c>
      <c r="C17" s="1" t="s">
        <v>5</v>
      </c>
      <c r="D17" s="46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  <c r="Y17" s="1">
        <f>SUMIF(Dataset!H16:H16, "&gt;20")</f>
        <v>41</v>
      </c>
    </row>
    <row r="18" spans="1:25" x14ac:dyDescent="0.25">
      <c r="A18" s="1" t="s">
        <v>21</v>
      </c>
      <c r="B18" s="1">
        <v>20032</v>
      </c>
      <c r="C18" s="1" t="s">
        <v>5</v>
      </c>
      <c r="D18" s="46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  <c r="Y18" s="1">
        <f>SUMIF(Dataset!H17:H17, "&gt;20")</f>
        <v>42.3</v>
      </c>
    </row>
    <row r="19" spans="1:25" x14ac:dyDescent="0.25">
      <c r="A19" s="1" t="s">
        <v>22</v>
      </c>
      <c r="B19" s="1">
        <v>20034</v>
      </c>
      <c r="C19" s="1" t="s">
        <v>5</v>
      </c>
      <c r="D19" s="46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  <c r="Y19" s="1">
        <f>SUMIF(Dataset!H18:H18, "&gt;20")</f>
        <v>43.3</v>
      </c>
    </row>
    <row r="20" spans="1:25" x14ac:dyDescent="0.25">
      <c r="A20" s="1" t="s">
        <v>23</v>
      </c>
      <c r="B20" s="1">
        <v>20036</v>
      </c>
      <c r="C20" s="1" t="s">
        <v>5</v>
      </c>
      <c r="D20" s="46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  <c r="Y20" s="1">
        <f>SUMIF(Dataset!H19:H19, "&gt;20")</f>
        <v>45.5</v>
      </c>
    </row>
    <row r="21" spans="1:25" x14ac:dyDescent="0.25">
      <c r="A21" s="1" t="s">
        <v>24</v>
      </c>
      <c r="B21" s="1">
        <v>20038</v>
      </c>
      <c r="C21" s="1" t="s">
        <v>5</v>
      </c>
      <c r="D21" s="46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  <c r="Y21" s="1">
        <f>SUMIF(Dataset!H20:H20, "&gt;20")</f>
        <v>50.1</v>
      </c>
    </row>
    <row r="22" spans="1:25" x14ac:dyDescent="0.25">
      <c r="A22" s="1" t="s">
        <v>25</v>
      </c>
      <c r="B22" s="1">
        <v>20040</v>
      </c>
      <c r="C22" s="1" t="s">
        <v>5</v>
      </c>
      <c r="D22" s="46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  <c r="Y22" s="1">
        <f>SUMIF(Dataset!H21:H21, "&gt;20")</f>
        <v>52.3</v>
      </c>
    </row>
    <row r="23" spans="1:25" x14ac:dyDescent="0.25">
      <c r="A23" s="1" t="s">
        <v>41</v>
      </c>
      <c r="B23" s="1">
        <v>20042</v>
      </c>
      <c r="C23" s="1" t="s">
        <v>5</v>
      </c>
      <c r="D23" s="46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  <c r="Y23" s="1">
        <f>SUMIF(Dataset!H22:H22, "&gt;20")</f>
        <v>54.6</v>
      </c>
    </row>
    <row r="24" spans="1:25" x14ac:dyDescent="0.25">
      <c r="A24" s="1" t="s">
        <v>26</v>
      </c>
      <c r="B24" s="1">
        <v>20044</v>
      </c>
      <c r="C24" s="1" t="s">
        <v>5</v>
      </c>
      <c r="D24" s="46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  <c r="Y24" s="1">
        <f>SUMIF(Dataset!H23:H23, "&gt;20")</f>
        <v>57.2</v>
      </c>
    </row>
    <row r="25" spans="1:25" x14ac:dyDescent="0.25">
      <c r="A25" s="1" t="s">
        <v>27</v>
      </c>
      <c r="B25" s="1">
        <v>20046</v>
      </c>
      <c r="C25" s="1" t="s">
        <v>5</v>
      </c>
      <c r="D25" s="46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  <c r="Y25" s="1">
        <f>SUMIF(Dataset!H24:H24, "&gt;20")</f>
        <v>59.2</v>
      </c>
    </row>
    <row r="26" spans="1:25" x14ac:dyDescent="0.25">
      <c r="A26" s="1" t="s">
        <v>28</v>
      </c>
      <c r="B26" s="1">
        <v>20048</v>
      </c>
      <c r="C26" s="1" t="s">
        <v>5</v>
      </c>
      <c r="D26" s="46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  <c r="Y26" s="1">
        <f>SUMIF(Dataset!H25:H25, "&gt;20")</f>
        <v>59.2</v>
      </c>
    </row>
    <row r="27" spans="1:25" x14ac:dyDescent="0.25">
      <c r="A27" s="1" t="s">
        <v>57</v>
      </c>
      <c r="B27" s="1">
        <v>20050</v>
      </c>
      <c r="C27" s="1" t="s">
        <v>5</v>
      </c>
      <c r="D27" s="46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  <c r="Y27" s="1">
        <f>SUMIF(Dataset!H26:H26, "&gt;20")</f>
        <v>0</v>
      </c>
    </row>
    <row r="28" spans="1:25" x14ac:dyDescent="0.25">
      <c r="A28" s="1" t="s">
        <v>29</v>
      </c>
      <c r="B28" s="1">
        <v>20052</v>
      </c>
      <c r="C28" s="1" t="s">
        <v>5</v>
      </c>
      <c r="D28" s="46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  <c r="Y28" s="1">
        <f>SUMIF(Dataset!H27:H27, "&gt;20")</f>
        <v>61.4</v>
      </c>
    </row>
    <row r="29" spans="1:25" x14ac:dyDescent="0.25">
      <c r="A29" s="1" t="s">
        <v>30</v>
      </c>
      <c r="B29" s="1">
        <v>20054</v>
      </c>
      <c r="C29" s="1" t="s">
        <v>5</v>
      </c>
      <c r="D29" s="46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  <c r="Y29" s="1">
        <f>SUMIF(Dataset!H28:H28, "&gt;20")</f>
        <v>61.4</v>
      </c>
    </row>
    <row r="30" spans="1:25" x14ac:dyDescent="0.25">
      <c r="A30" s="1" t="s">
        <v>58</v>
      </c>
      <c r="B30" s="1">
        <v>20058</v>
      </c>
      <c r="C30" s="1" t="s">
        <v>5</v>
      </c>
      <c r="D30" s="46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  <c r="Y30" s="1">
        <f>SUMIF(Dataset!H29:H29, "&gt;20")</f>
        <v>63.6</v>
      </c>
    </row>
    <row r="31" spans="1:25" x14ac:dyDescent="0.25">
      <c r="A31" s="1" t="s">
        <v>31</v>
      </c>
      <c r="B31" s="1">
        <v>20060</v>
      </c>
      <c r="C31" s="1" t="s">
        <v>5</v>
      </c>
      <c r="D31" s="46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  <c r="Y31" s="1">
        <f>SUMIF(Dataset!H30:H30, "&gt;20")</f>
        <v>0</v>
      </c>
    </row>
    <row r="32" spans="1:25" x14ac:dyDescent="0.25">
      <c r="A32" s="1" t="s">
        <v>32</v>
      </c>
      <c r="B32" s="1">
        <v>21000</v>
      </c>
      <c r="C32" s="1" t="s">
        <v>5</v>
      </c>
      <c r="D32" s="46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  <c r="Y32" s="1">
        <f>SUMIF(Dataset!H31:H31, "&gt;20")</f>
        <v>65.900000000000006</v>
      </c>
    </row>
    <row r="33" spans="1:25" x14ac:dyDescent="0.25">
      <c r="A33" s="1" t="s">
        <v>33</v>
      </c>
      <c r="B33" s="1">
        <v>21002</v>
      </c>
      <c r="C33" s="1" t="s">
        <v>5</v>
      </c>
      <c r="D33" s="46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  <c r="Y33" s="1">
        <f>SUMIF(Dataset!H32:H32, "&gt;20")</f>
        <v>0</v>
      </c>
    </row>
    <row r="34" spans="1:25" x14ac:dyDescent="0.25">
      <c r="A34" s="1" t="s">
        <v>34</v>
      </c>
      <c r="B34" s="1">
        <v>21004</v>
      </c>
      <c r="C34" s="1" t="s">
        <v>5</v>
      </c>
      <c r="D34" s="46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  <c r="Y34" s="1">
        <f>SUMIF(Dataset!H33:H33, "&gt;20")</f>
        <v>61.4</v>
      </c>
    </row>
    <row r="35" spans="1:25" x14ac:dyDescent="0.25">
      <c r="A35" s="1" t="s">
        <v>35</v>
      </c>
      <c r="B35" s="1">
        <v>21006</v>
      </c>
      <c r="C35" s="1" t="s">
        <v>5</v>
      </c>
      <c r="D35" s="46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  <c r="Y35" s="1">
        <f>SUMIF(Dataset!H34:H34, "&gt;20")</f>
        <v>63.6</v>
      </c>
    </row>
    <row r="36" spans="1:25" x14ac:dyDescent="0.25">
      <c r="A36" s="1" t="s">
        <v>36</v>
      </c>
      <c r="B36" s="1">
        <v>21008</v>
      </c>
      <c r="C36" s="1" t="s">
        <v>5</v>
      </c>
      <c r="D36" s="46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  <c r="Y36" s="1">
        <f>SUMIF(Dataset!H35:H35, "&gt;20")</f>
        <v>65.900000000000006</v>
      </c>
    </row>
    <row r="37" spans="1:25" x14ac:dyDescent="0.25">
      <c r="A37" s="1" t="s">
        <v>42</v>
      </c>
      <c r="B37" s="1">
        <v>21010</v>
      </c>
      <c r="C37" s="1" t="s">
        <v>5</v>
      </c>
      <c r="D37" s="46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  <c r="Y37" s="1">
        <f>SUMIF(Dataset!H36:H36, "&gt;20")</f>
        <v>70.400000000000006</v>
      </c>
    </row>
    <row r="38" spans="1:25" x14ac:dyDescent="0.25">
      <c r="A38" s="1" t="s">
        <v>37</v>
      </c>
      <c r="B38" s="1">
        <v>21012</v>
      </c>
      <c r="C38" s="1" t="s">
        <v>5</v>
      </c>
      <c r="D38" s="46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  <c r="Y38" s="1">
        <f>SUMIF(Dataset!H37:H37, "&gt;20")</f>
        <v>72</v>
      </c>
    </row>
    <row r="39" spans="1:25" x14ac:dyDescent="0.25">
      <c r="A39" s="1" t="s">
        <v>38</v>
      </c>
      <c r="B39" s="1">
        <v>21014</v>
      </c>
      <c r="C39" s="1" t="s">
        <v>5</v>
      </c>
      <c r="D39" s="46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  <c r="Y39" s="1">
        <f>SUMIF(Dataset!H38:H38, "&gt;20")</f>
        <v>72.8</v>
      </c>
    </row>
    <row r="40" spans="1:25" x14ac:dyDescent="0.25">
      <c r="A40" s="1" t="s">
        <v>39</v>
      </c>
      <c r="B40" s="1">
        <v>21016</v>
      </c>
      <c r="C40" s="1" t="s">
        <v>5</v>
      </c>
      <c r="D40" s="46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  <c r="Y40" s="1">
        <f>SUMIF(Dataset!H39:H39, "&gt;20")</f>
        <v>75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A1:XFD1048576">
    <cfRule type="cellIs" priority="3" operator="equal">
      <formula>-1</formula>
    </cfRule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1" sqref="F3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VLOOKUP(A6,Dataset!A2:G40,7,0)</f>
        <v>2.7</v>
      </c>
      <c r="C6" s="11">
        <f>VLOOKUP(A6,Dataset!A2:N40,14,0)</f>
        <v>7.6</v>
      </c>
      <c r="D6" s="11">
        <f>VLOOKUP(A6,Dataset!A2:R40,18,0)</f>
        <v>4.2</v>
      </c>
      <c r="E6" s="11">
        <f>VLOOKUP(A6,Dataset!A2:T40,20,0)</f>
        <v>8.9</v>
      </c>
      <c r="F6" s="8">
        <f>VLOOKUP(A6,Dataset!A2:V40,22,0)</f>
        <v>4.2</v>
      </c>
    </row>
    <row r="7" spans="1:7" ht="15" x14ac:dyDescent="0.25">
      <c r="A7" s="7" t="s">
        <v>4</v>
      </c>
      <c r="B7" s="11">
        <f>VLOOKUP(A7,Dataset!A3:G41,7,0)</f>
        <v>2.7</v>
      </c>
      <c r="C7" s="11">
        <f>VLOOKUP(A7,Dataset!A3:N41,14,0)</f>
        <v>7.6</v>
      </c>
      <c r="D7" s="11">
        <f>VLOOKUP(A7,Dataset!A3:R41,18,0)</f>
        <v>4.2</v>
      </c>
      <c r="E7" s="11">
        <f>VLOOKUP(A7,Dataset!A3:T41,20,0)</f>
        <v>8.9</v>
      </c>
      <c r="F7" s="8">
        <f>VLOOKUP(A7,Dataset!A3:V41,22,0)</f>
        <v>4.2</v>
      </c>
    </row>
    <row r="8" spans="1:7" ht="15" x14ac:dyDescent="0.25">
      <c r="A8" s="7" t="s">
        <v>7</v>
      </c>
      <c r="B8" s="11">
        <f>VLOOKUP(A8,Dataset!A4:G42,7,0)</f>
        <v>3.6</v>
      </c>
      <c r="C8" s="11">
        <f>VLOOKUP(A8,Dataset!A4:N42,14,0)</f>
        <v>11.1</v>
      </c>
      <c r="D8" s="11">
        <f>VLOOKUP(A8,Dataset!A4:R42,18,0)</f>
        <v>5.8</v>
      </c>
      <c r="E8" s="11">
        <f>VLOOKUP(A8,Dataset!A4:T42,20,0)</f>
        <v>12.2</v>
      </c>
      <c r="F8" s="8">
        <f>VLOOKUP(A8,Dataset!A4:V42,22,0)</f>
        <v>5.8</v>
      </c>
    </row>
    <row r="9" spans="1:7" ht="15" x14ac:dyDescent="0.25">
      <c r="A9" s="7" t="s">
        <v>8</v>
      </c>
      <c r="B9" s="11">
        <f>VLOOKUP(A9,Dataset!A5:G43,7,0)</f>
        <v>4.9000000000000004</v>
      </c>
      <c r="C9" s="11">
        <f>VLOOKUP(A9,Dataset!A5:N43,14,0)</f>
        <v>13.3</v>
      </c>
      <c r="D9" s="11">
        <f>VLOOKUP(A9,Dataset!A5:R43,18,0)</f>
        <v>8.1</v>
      </c>
      <c r="E9" s="11">
        <f>VLOOKUP(A9,Dataset!A5:T43,20,0)</f>
        <v>17</v>
      </c>
      <c r="F9" s="8">
        <f>VLOOKUP(A9,Dataset!A5:V43,22,0)</f>
        <v>8.1</v>
      </c>
    </row>
    <row r="10" spans="1:7" ht="15" x14ac:dyDescent="0.25">
      <c r="A10" s="7" t="s">
        <v>11</v>
      </c>
      <c r="B10" s="11">
        <f>VLOOKUP(A10,Dataset!A6:G44,7,0)</f>
        <v>9.4</v>
      </c>
      <c r="C10" s="11">
        <f>VLOOKUP(A10,Dataset!A6:N44,14,0)</f>
        <v>28.3</v>
      </c>
      <c r="D10" s="11">
        <f>VLOOKUP(A10,Dataset!A6:R44,18,0)</f>
        <v>16.100000000000001</v>
      </c>
      <c r="E10" s="11">
        <f>VLOOKUP(A10,Dataset!A6:T44,20,0)</f>
        <v>32.799999999999997</v>
      </c>
      <c r="F10" s="8">
        <f>VLOOKUP(A10,Dataset!A6:V44,22,0)</f>
        <v>16.100000000000001</v>
      </c>
    </row>
    <row r="11" spans="1:7" ht="15" x14ac:dyDescent="0.25">
      <c r="A11" s="7" t="s">
        <v>12</v>
      </c>
      <c r="B11" s="11">
        <f>VLOOKUP(A11,Dataset!A7:G45,7,0)</f>
        <v>11.6</v>
      </c>
      <c r="C11" s="11">
        <f>VLOOKUP(A11,Dataset!A7:N45,14,0)</f>
        <v>35.200000000000003</v>
      </c>
      <c r="D11" s="11">
        <f>VLOOKUP(A11,Dataset!A7:R45,18,0)</f>
        <v>21.3</v>
      </c>
      <c r="E11" s="11">
        <f>VLOOKUP(A11,Dataset!A7:T45,20,0)</f>
        <v>43</v>
      </c>
      <c r="F11" s="8">
        <f>VLOOKUP(A11,Dataset!A7:V45,22,0)</f>
        <v>21.3</v>
      </c>
    </row>
    <row r="12" spans="1:7" ht="15" x14ac:dyDescent="0.25">
      <c r="A12" s="7" t="s">
        <v>14</v>
      </c>
      <c r="B12" s="11">
        <f>VLOOKUP(A12,Dataset!A8:G46,7,0)</f>
        <v>18.399999999999999</v>
      </c>
      <c r="C12" s="11">
        <f>VLOOKUP(A12,Dataset!A8:N46,14,0)</f>
        <v>55.6</v>
      </c>
      <c r="D12" s="11">
        <f>VLOOKUP(A12,Dataset!A8:R46,18,0)</f>
        <v>33.799999999999997</v>
      </c>
      <c r="E12" s="11">
        <f>VLOOKUP(A12,Dataset!A8:T46,20,0)</f>
        <v>67.900000000000006</v>
      </c>
      <c r="F12" s="8">
        <f>VLOOKUP(A12,Dataset!A8:V46,22,0)</f>
        <v>33.799999999999997</v>
      </c>
    </row>
    <row r="13" spans="1:7" ht="15" x14ac:dyDescent="0.25">
      <c r="A13" s="7" t="s">
        <v>15</v>
      </c>
      <c r="B13" s="11">
        <f>VLOOKUP(A13,Dataset!A9:G47,7,0)</f>
        <v>0</v>
      </c>
      <c r="C13" s="11">
        <f>VLOOKUP(A13,Dataset!A9:N47,14,0)</f>
        <v>0</v>
      </c>
      <c r="D13" s="11">
        <f>VLOOKUP(A13,Dataset!A9:R47,18,0)</f>
        <v>0</v>
      </c>
      <c r="E13" s="11">
        <f>VLOOKUP(A13,Dataset!A9:T47,20,0)</f>
        <v>0</v>
      </c>
      <c r="F13" s="8">
        <f>VLOOKUP(A13,Dataset!A9:V47,22,0)</f>
        <v>0</v>
      </c>
    </row>
    <row r="14" spans="1:7" ht="15" x14ac:dyDescent="0.25">
      <c r="A14" s="7" t="s">
        <v>16</v>
      </c>
      <c r="B14" s="11">
        <f>VLOOKUP(A14,Dataset!A10:G48,7,0)</f>
        <v>21.9</v>
      </c>
      <c r="C14" s="11">
        <f>VLOOKUP(A14,Dataset!A10:N48,14,0)</f>
        <v>61.5</v>
      </c>
      <c r="D14" s="11">
        <f>VLOOKUP(A14,Dataset!A10:R48,18,0)</f>
        <v>40.1</v>
      </c>
      <c r="E14" s="11">
        <f>VLOOKUP(A14,Dataset!A10:T48,20,0)</f>
        <v>76.599999999999994</v>
      </c>
      <c r="F14" s="8">
        <f>VLOOKUP(A14,Dataset!A10:V48,22,0)</f>
        <v>40.1</v>
      </c>
    </row>
    <row r="15" spans="1:7" ht="15" x14ac:dyDescent="0.25">
      <c r="A15" s="7" t="s">
        <v>18</v>
      </c>
      <c r="B15" s="11">
        <f>VLOOKUP(A15,Dataset!A11:G49,7,0)</f>
        <v>26.8</v>
      </c>
      <c r="C15" s="11">
        <f>VLOOKUP(A15,Dataset!A11:N49,14,0)</f>
        <v>79.599999999999994</v>
      </c>
      <c r="D15" s="11">
        <f>VLOOKUP(A15,Dataset!A11:R49,18,0)</f>
        <v>47.9</v>
      </c>
      <c r="E15" s="11">
        <f>VLOOKUP(A15,Dataset!A11:T49,20,0)</f>
        <v>96.8</v>
      </c>
      <c r="F15" s="8">
        <f>VLOOKUP(A15,Dataset!A11:V49,22,0)</f>
        <v>47.9</v>
      </c>
    </row>
    <row r="16" spans="1:7" ht="15" x14ac:dyDescent="0.25">
      <c r="A16" s="7" t="s">
        <v>20</v>
      </c>
      <c r="B16" s="11">
        <f>VLOOKUP(A16,Dataset!A12:G50,7,0)</f>
        <v>28.5</v>
      </c>
      <c r="C16" s="11">
        <f>VLOOKUP(A16,Dataset!A12:N50,14,0)</f>
        <v>85.4</v>
      </c>
      <c r="D16" s="11">
        <f>VLOOKUP(A16,Dataset!A12:R50,18,0)</f>
        <v>52.3</v>
      </c>
      <c r="E16" s="11">
        <f>VLOOKUP(A16,Dataset!A12:T50,20,0)</f>
        <v>106.1</v>
      </c>
      <c r="F16" s="8">
        <f>VLOOKUP(A16,Dataset!A12:V50,22,0)</f>
        <v>52.3</v>
      </c>
    </row>
    <row r="17" spans="1:6" ht="15" x14ac:dyDescent="0.25">
      <c r="A17" s="7" t="s">
        <v>22</v>
      </c>
      <c r="B17" s="11">
        <f>VLOOKUP(A17,Dataset!A13:G51,7,0)</f>
        <v>30.7</v>
      </c>
      <c r="C17" s="11">
        <f>VLOOKUP(A17,Dataset!A13:N51,14,0)</f>
        <v>92.1</v>
      </c>
      <c r="D17" s="11">
        <f>VLOOKUP(A17,Dataset!A13:R51,18,0)</f>
        <v>57</v>
      </c>
      <c r="E17" s="11">
        <f>VLOOKUP(A17,Dataset!A13:T51,20,0)</f>
        <v>115.1</v>
      </c>
      <c r="F17" s="8">
        <f>VLOOKUP(A17,Dataset!A13:V51,22,0)</f>
        <v>57</v>
      </c>
    </row>
    <row r="18" spans="1:6" ht="15" x14ac:dyDescent="0.25">
      <c r="A18" s="7" t="s">
        <v>23</v>
      </c>
      <c r="B18" s="11">
        <f>VLOOKUP(A18,Dataset!A14:G52,7,0)</f>
        <v>33.799999999999997</v>
      </c>
      <c r="C18" s="11">
        <f>VLOOKUP(A18,Dataset!A14:N52,14,0)</f>
        <v>101.3</v>
      </c>
      <c r="D18" s="11">
        <f>VLOOKUP(A18,Dataset!A14:R52,18,0)</f>
        <v>61.4</v>
      </c>
      <c r="E18" s="11">
        <f>VLOOKUP(A18,Dataset!A14:T52,20,0)</f>
        <v>124.4</v>
      </c>
      <c r="F18" s="8">
        <f>VLOOKUP(A18,Dataset!A14:V52,22,0)</f>
        <v>61.4</v>
      </c>
    </row>
    <row r="19" spans="1:6" ht="15" x14ac:dyDescent="0.25">
      <c r="A19" s="7" t="s">
        <v>24</v>
      </c>
      <c r="B19" s="11">
        <f>VLOOKUP(A19,Dataset!A15:G53,7,0)</f>
        <v>34.700000000000003</v>
      </c>
      <c r="C19" s="11">
        <f>VLOOKUP(A19,Dataset!A15:N53,14,0)</f>
        <v>106.1</v>
      </c>
      <c r="D19" s="11">
        <f>VLOOKUP(A19,Dataset!A15:R53,18,0)</f>
        <v>63.6</v>
      </c>
      <c r="E19" s="11">
        <f>VLOOKUP(A19,Dataset!A15:T53,20,0)</f>
        <v>128.6</v>
      </c>
      <c r="F19" s="8">
        <f>VLOOKUP(A19,Dataset!A15:V53,22,0)</f>
        <v>63.6</v>
      </c>
    </row>
    <row r="20" spans="1:6" ht="15" x14ac:dyDescent="0.25">
      <c r="A20" s="7" t="s">
        <v>28</v>
      </c>
      <c r="B20" s="11">
        <f>VLOOKUP(A20,Dataset!A16:G54,7,0)</f>
        <v>0</v>
      </c>
      <c r="C20" s="11">
        <f>VLOOKUP(A20,Dataset!A16:N54,14,0)</f>
        <v>0</v>
      </c>
      <c r="D20" s="11">
        <f>VLOOKUP(A20,Dataset!A16:R54,18,0)</f>
        <v>0</v>
      </c>
      <c r="E20" s="11">
        <f>VLOOKUP(A20,Dataset!A16:T54,20,0)</f>
        <v>0</v>
      </c>
      <c r="F20" s="8">
        <f>VLOOKUP(A20,Dataset!A16:V54,22,0)</f>
        <v>0</v>
      </c>
    </row>
    <row r="21" spans="1:6" ht="15" x14ac:dyDescent="0.25">
      <c r="A21" s="7" t="s">
        <v>57</v>
      </c>
      <c r="B21" s="11">
        <f>VLOOKUP(A21,Dataset!A17:G55,7,0)</f>
        <v>41.3</v>
      </c>
      <c r="C21" s="11">
        <f>VLOOKUP(A21,Dataset!A17:N55,14,0)</f>
        <v>124.4</v>
      </c>
      <c r="D21" s="11">
        <f>VLOOKUP(A21,Dataset!A17:R55,18,0)</f>
        <v>75</v>
      </c>
      <c r="E21" s="11">
        <f>VLOOKUP(A21,Dataset!A17:T55,20,0)</f>
        <v>151.5</v>
      </c>
      <c r="F21" s="8">
        <f>VLOOKUP(A21,Dataset!A17:V55,22,0)</f>
        <v>75</v>
      </c>
    </row>
    <row r="22" spans="1:6" ht="15" x14ac:dyDescent="0.25">
      <c r="A22" s="7" t="s">
        <v>58</v>
      </c>
      <c r="B22" s="11">
        <f>VLOOKUP(A22,Dataset!A18:G56,7,0)</f>
        <v>-1</v>
      </c>
      <c r="C22" s="11">
        <f>VLOOKUP(A22,Dataset!A18:N56,14,0)</f>
        <v>-1</v>
      </c>
      <c r="D22" s="11">
        <f>VLOOKUP(A22,Dataset!A18:R56,18,0)</f>
        <v>-1</v>
      </c>
      <c r="E22" s="11">
        <f>VLOOKUP(A22,Dataset!A18:T56,20,0)</f>
        <v>-1</v>
      </c>
      <c r="F22" s="8">
        <f>VLOOKUP(A22,Dataset!A18:V56,22,0)</f>
        <v>-1</v>
      </c>
    </row>
    <row r="23" spans="1:6" ht="15" x14ac:dyDescent="0.25">
      <c r="A23" s="7" t="s">
        <v>31</v>
      </c>
      <c r="B23" s="11">
        <f>VLOOKUP(A23,Dataset!A19:G57,7,0)</f>
        <v>45</v>
      </c>
      <c r="C23" s="11">
        <f>VLOOKUP(A23,Dataset!A19:N57,14,0)</f>
        <v>133.4</v>
      </c>
      <c r="D23" s="11">
        <f>VLOOKUP(A23,Dataset!A19:R57,18,0)</f>
        <v>79.400000000000006</v>
      </c>
      <c r="E23" s="11">
        <f>VLOOKUP(A23,Dataset!A19:T57,20,0)</f>
        <v>160.9</v>
      </c>
      <c r="F23" s="8">
        <f>VLOOKUP(A23,Dataset!A19:V57,22,0)</f>
        <v>79.400000000000006</v>
      </c>
    </row>
    <row r="24" spans="1:6" ht="15" x14ac:dyDescent="0.25">
      <c r="A24" s="7" t="s">
        <v>32</v>
      </c>
      <c r="B24" s="11">
        <f>VLOOKUP(A24,Dataset!A20:G58,7,0)</f>
        <v>-1</v>
      </c>
      <c r="C24" s="11">
        <f>VLOOKUP(A24,Dataset!A20:N58,14,0)</f>
        <v>-1</v>
      </c>
      <c r="D24" s="11">
        <f>VLOOKUP(A24,Dataset!A20:R58,18,0)</f>
        <v>-1</v>
      </c>
      <c r="E24" s="11">
        <f>VLOOKUP(A24,Dataset!A20:T58,20,0)</f>
        <v>-1</v>
      </c>
      <c r="F24" s="8">
        <f>VLOOKUP(A24,Dataset!A20:V58,22,0)</f>
        <v>-1</v>
      </c>
    </row>
    <row r="25" spans="1:6" ht="15" x14ac:dyDescent="0.25">
      <c r="A25" s="7" t="s">
        <v>34</v>
      </c>
      <c r="B25" s="11">
        <f>VLOOKUP(A25,Dataset!A21:G59,7,0)</f>
        <v>43.3</v>
      </c>
      <c r="C25" s="11">
        <f>VLOOKUP(A25,Dataset!A21:N59,14,0)</f>
        <v>128.6</v>
      </c>
      <c r="D25" s="11">
        <f>VLOOKUP(A25,Dataset!A21:R59,18,0)</f>
        <v>79.400000000000006</v>
      </c>
      <c r="E25" s="11">
        <f>VLOOKUP(A25,Dataset!A21:T59,20,0)</f>
        <v>160.9</v>
      </c>
      <c r="F25" s="8">
        <f>VLOOKUP(A25,Dataset!A21:V59,22,0)</f>
        <v>79.400000000000006</v>
      </c>
    </row>
    <row r="26" spans="1:6" ht="15" x14ac:dyDescent="0.25">
      <c r="A26" s="7" t="s">
        <v>37</v>
      </c>
      <c r="B26" s="11">
        <f>VLOOKUP(A26,Dataset!A22:G60,7,0)</f>
        <v>49.1</v>
      </c>
      <c r="C26" s="11">
        <f>VLOOKUP(A26,Dataset!A22:N60,14,0)</f>
        <v>146.80000000000001</v>
      </c>
      <c r="D26" s="11">
        <f>VLOOKUP(A26,Dataset!A22:R60,18,0)</f>
        <v>90.9</v>
      </c>
      <c r="E26" s="11">
        <f>VLOOKUP(A26,Dataset!A22:T60,20,0)</f>
        <v>183.5</v>
      </c>
      <c r="F26" s="8">
        <f>VLOOKUP(A26,Dataset!A22:V60,22,0)</f>
        <v>90.9</v>
      </c>
    </row>
    <row r="27" spans="1:6" ht="15" x14ac:dyDescent="0.25">
      <c r="A27" s="7" t="s">
        <v>39</v>
      </c>
      <c r="B27" s="11">
        <f>VLOOKUP(A27,Dataset!A23:G61,7,0)</f>
        <v>51.8</v>
      </c>
      <c r="C27" s="11">
        <f>VLOOKUP(A27,Dataset!A23:N61,14,0)</f>
        <v>156.4</v>
      </c>
      <c r="D27" s="11">
        <f>VLOOKUP(A27,Dataset!A23:R61,18,0)</f>
        <v>93.1</v>
      </c>
      <c r="E27" s="11">
        <f>VLOOKUP(A27,Dataset!A23:T61,20,0)</f>
        <v>188.1</v>
      </c>
      <c r="F27" s="8">
        <f>VLOOKUP(A27,Dataset!A23:V61,22,0)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5">
      <c r="A29" s="18" t="s">
        <v>83</v>
      </c>
      <c r="B29" s="30">
        <f>MAX(B6:B27)</f>
        <v>51.8</v>
      </c>
      <c r="C29" s="11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11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5" sqref="B5"/>
    </sheetView>
  </sheetViews>
  <sheetFormatPr defaultColWidth="11" defaultRowHeight="15" x14ac:dyDescent="0.25"/>
  <cols>
    <col min="1" max="1" width="39.83203125" style="1" bestFit="1" customWidth="1"/>
    <col min="2" max="2" width="190.5" style="1" bestFit="1" customWidth="1"/>
    <col min="3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179</v>
      </c>
    </row>
    <row r="6" spans="1:10" ht="18.75" x14ac:dyDescent="0.3">
      <c r="A6" s="42" t="s">
        <v>153</v>
      </c>
      <c r="B6" s="39" t="s">
        <v>178</v>
      </c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  <c r="H14" s="1" t="str">
        <f>B16</f>
        <v>20000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 t="str" cm="1">
        <f t="array" ref="B16:F16">_xlfn.TEXTSPLIT(A16,"-")</f>
        <v>20000</v>
      </c>
      <c r="C16" s="11" t="str">
        <v>Monday</v>
      </c>
      <c r="D16" s="11" t="str">
        <v>0</v>
      </c>
      <c r="E16" s="11" t="str">
        <v>Sunday</v>
      </c>
      <c r="F16" s="11" t="str">
        <v>24</v>
      </c>
    </row>
    <row r="17" spans="1:6" x14ac:dyDescent="0.25">
      <c r="A17" s="7" t="s">
        <v>122</v>
      </c>
      <c r="B17" s="11" t="str" cm="1">
        <f t="array" ref="B17:F17">_xlfn.TEXTSPLIT(A17,"-")</f>
        <v>20002</v>
      </c>
      <c r="C17" s="1" t="str">
        <v>Monday</v>
      </c>
      <c r="D17" s="11" t="str">
        <v>0</v>
      </c>
      <c r="E17" s="1" t="str">
        <v>Sunday</v>
      </c>
      <c r="F17" s="11" t="str">
        <v>24</v>
      </c>
    </row>
    <row r="18" spans="1:6" x14ac:dyDescent="0.25">
      <c r="A18" s="7" t="s">
        <v>123</v>
      </c>
      <c r="B18" s="11" t="str" cm="1">
        <f t="array" ref="B18:F18">_xlfn.TEXTSPLIT(A18,"-")</f>
        <v>20004</v>
      </c>
      <c r="C18" s="1" t="str">
        <v>Monday</v>
      </c>
      <c r="D18" s="11" t="str">
        <v>0</v>
      </c>
      <c r="E18" s="1" t="str">
        <v>Sunday</v>
      </c>
      <c r="F18" s="11" t="str">
        <v>24</v>
      </c>
    </row>
    <row r="19" spans="1:6" x14ac:dyDescent="0.25">
      <c r="A19" s="7" t="s">
        <v>124</v>
      </c>
      <c r="B19" s="11" t="str" cm="1">
        <f t="array" ref="B19:F19">_xlfn.TEXTSPLIT(A19,"-")</f>
        <v>20006</v>
      </c>
      <c r="C19" s="1" t="str">
        <v>Monday</v>
      </c>
      <c r="D19" s="11" t="str">
        <v>0</v>
      </c>
      <c r="E19" s="1" t="str">
        <v>Sunday</v>
      </c>
      <c r="F19" s="11" t="str">
        <v>24</v>
      </c>
    </row>
    <row r="20" spans="1:6" x14ac:dyDescent="0.25">
      <c r="A20" s="7" t="s">
        <v>125</v>
      </c>
      <c r="B20" s="11" t="str" cm="1">
        <f t="array" ref="B20:F20">_xlfn.TEXTSPLIT(A20,"-")</f>
        <v>20008</v>
      </c>
      <c r="C20" s="1" t="str">
        <v>Monday</v>
      </c>
      <c r="D20" s="11" t="str">
        <v>0</v>
      </c>
      <c r="E20" s="1" t="str">
        <v>Sunday</v>
      </c>
      <c r="F20" s="11" t="str">
        <v>24</v>
      </c>
    </row>
    <row r="21" spans="1:6" x14ac:dyDescent="0.25">
      <c r="A21" s="7" t="s">
        <v>126</v>
      </c>
      <c r="B21" s="11" t="str" cm="1">
        <f t="array" ref="B21:F21">_xlfn.TEXTSPLIT(A21,"-")</f>
        <v>20010</v>
      </c>
      <c r="C21" s="1" t="str">
        <v>Monday</v>
      </c>
      <c r="D21" s="11" t="str">
        <v>0</v>
      </c>
      <c r="E21" s="1" t="str">
        <v>Sunday</v>
      </c>
      <c r="F21" s="11" t="str">
        <v>24</v>
      </c>
    </row>
    <row r="22" spans="1:6" x14ac:dyDescent="0.25">
      <c r="A22" s="7" t="s">
        <v>127</v>
      </c>
      <c r="B22" s="11" t="str" cm="1">
        <f t="array" ref="B22:F22">_xlfn.TEXTSPLIT(A22,"-")</f>
        <v>20012</v>
      </c>
      <c r="C22" s="1" t="str">
        <v>Monday</v>
      </c>
      <c r="D22" s="11" t="str">
        <v>0</v>
      </c>
      <c r="E22" s="1" t="str">
        <v>Sunday</v>
      </c>
      <c r="F22" s="11" t="str">
        <v>24</v>
      </c>
    </row>
    <row r="23" spans="1:6" x14ac:dyDescent="0.25">
      <c r="A23" s="7" t="s">
        <v>128</v>
      </c>
      <c r="B23" s="11" t="str" cm="1">
        <f t="array" ref="B23:F23">_xlfn.TEXTSPLIT(A23,"-")</f>
        <v>20014</v>
      </c>
      <c r="C23" s="1" t="str">
        <v>Monday</v>
      </c>
      <c r="D23" s="11" t="str">
        <v>0</v>
      </c>
      <c r="E23" s="1" t="str">
        <v>Sunday</v>
      </c>
      <c r="F23" s="11" t="str">
        <v>24</v>
      </c>
    </row>
    <row r="24" spans="1:6" x14ac:dyDescent="0.25">
      <c r="A24" s="7" t="s">
        <v>129</v>
      </c>
      <c r="B24" s="11" t="str" cm="1">
        <f t="array" ref="B24:F24">_xlfn.TEXTSPLIT(A24,"-")</f>
        <v>20016</v>
      </c>
      <c r="C24" s="1" t="str">
        <v>Monday</v>
      </c>
      <c r="D24" s="11" t="str">
        <v>0</v>
      </c>
      <c r="E24" s="1" t="str">
        <v>Sunday</v>
      </c>
      <c r="F24" s="11" t="str">
        <v>24</v>
      </c>
    </row>
    <row r="25" spans="1:6" x14ac:dyDescent="0.25">
      <c r="A25" s="7" t="s">
        <v>130</v>
      </c>
      <c r="B25" s="11" t="str" cm="1">
        <f t="array" ref="B25:F25">_xlfn.TEXTSPLIT(A25,"-")</f>
        <v>20018</v>
      </c>
      <c r="C25" s="1" t="str">
        <v>Monday</v>
      </c>
      <c r="D25" s="11" t="str">
        <v>0</v>
      </c>
      <c r="E25" s="1" t="str">
        <v>Sunday</v>
      </c>
      <c r="F25" s="11" t="str">
        <v>24</v>
      </c>
    </row>
    <row r="26" spans="1:6" x14ac:dyDescent="0.25">
      <c r="A26" s="7" t="s">
        <v>131</v>
      </c>
      <c r="B26" s="11" t="str" cm="1">
        <f t="array" ref="B26:F26">_xlfn.TEXTSPLIT(A26,"-")</f>
        <v>20020</v>
      </c>
      <c r="C26" s="1" t="str">
        <v>Monday</v>
      </c>
      <c r="D26" s="11" t="str">
        <v>0</v>
      </c>
      <c r="E26" s="1" t="str">
        <v>Sunday</v>
      </c>
      <c r="F26" s="11" t="str">
        <v>24</v>
      </c>
    </row>
    <row r="27" spans="1:6" x14ac:dyDescent="0.25">
      <c r="A27" s="7" t="s">
        <v>132</v>
      </c>
      <c r="B27" s="11" t="str" cm="1">
        <f t="array" ref="B27:F27">_xlfn.TEXTSPLIT(A27,"-")</f>
        <v>20022</v>
      </c>
      <c r="C27" s="1" t="str">
        <v>Monday</v>
      </c>
      <c r="D27" s="11" t="str">
        <v>0</v>
      </c>
      <c r="E27" s="1" t="str">
        <v>Sunday</v>
      </c>
      <c r="F27" s="11" t="str">
        <v>24</v>
      </c>
    </row>
    <row r="28" spans="1:6" x14ac:dyDescent="0.25">
      <c r="A28" s="7" t="s">
        <v>133</v>
      </c>
      <c r="B28" s="11" t="str" cm="1">
        <f t="array" ref="B28:F28">_xlfn.TEXTSPLIT(A28,"-")</f>
        <v>20024</v>
      </c>
      <c r="C28" s="1" t="str">
        <v>Monday</v>
      </c>
      <c r="D28" s="11" t="str">
        <v>0</v>
      </c>
      <c r="E28" s="1" t="str">
        <v>Sunday</v>
      </c>
      <c r="F28" s="11" t="str">
        <v>24</v>
      </c>
    </row>
    <row r="29" spans="1:6" x14ac:dyDescent="0.25">
      <c r="A29" s="7" t="s">
        <v>134</v>
      </c>
      <c r="B29" s="11" t="str" cm="1">
        <f t="array" ref="B29:F29">_xlfn.TEXTSPLIT(A29,"-")</f>
        <v>20026</v>
      </c>
      <c r="C29" s="1" t="str">
        <v>Monday</v>
      </c>
      <c r="D29" s="11" t="str">
        <v>0</v>
      </c>
      <c r="E29" s="1" t="str">
        <v>Sunday</v>
      </c>
      <c r="F29" s="11" t="str">
        <v>24</v>
      </c>
    </row>
    <row r="30" spans="1:6" x14ac:dyDescent="0.25">
      <c r="A30" s="7" t="s">
        <v>135</v>
      </c>
      <c r="B30" s="11" t="str" cm="1">
        <f t="array" ref="B30:F30">_xlfn.TEXTSPLIT(A30,"-")</f>
        <v>20028</v>
      </c>
      <c r="C30" s="1" t="str">
        <v>Monday</v>
      </c>
      <c r="D30" s="11" t="str">
        <v>0</v>
      </c>
      <c r="E30" s="1" t="str">
        <v>Sunday</v>
      </c>
      <c r="F30" s="11" t="str">
        <v>24</v>
      </c>
    </row>
    <row r="31" spans="1:6" x14ac:dyDescent="0.25">
      <c r="A31" s="7" t="s">
        <v>136</v>
      </c>
      <c r="B31" s="11" t="str" cm="1">
        <f t="array" ref="B31:F31">_xlfn.TEXTSPLIT(A31,"-")</f>
        <v>20030</v>
      </c>
      <c r="C31" s="1" t="str">
        <v>Monday</v>
      </c>
      <c r="D31" s="11" t="str">
        <v>0</v>
      </c>
      <c r="E31" s="1" t="str">
        <v>Sunday</v>
      </c>
      <c r="F31" s="11" t="str">
        <v>24</v>
      </c>
    </row>
    <row r="32" spans="1:6" x14ac:dyDescent="0.25">
      <c r="A32" s="7" t="s">
        <v>137</v>
      </c>
      <c r="B32" s="11" t="str" cm="1">
        <f t="array" ref="B32:F32">_xlfn.TEXTSPLIT(A32,"-")</f>
        <v>20032</v>
      </c>
      <c r="C32" s="1" t="str">
        <v>Monday</v>
      </c>
      <c r="D32" s="11" t="str">
        <v>0</v>
      </c>
      <c r="E32" s="1" t="str">
        <v>Sunday</v>
      </c>
      <c r="F32" s="11" t="str">
        <v>24</v>
      </c>
    </row>
    <row r="33" spans="1:6" x14ac:dyDescent="0.25">
      <c r="A33" s="7" t="s">
        <v>138</v>
      </c>
      <c r="B33" s="11" t="str" cm="1">
        <f t="array" ref="B33:F33">_xlfn.TEXTSPLIT(A33,"-")</f>
        <v>20034</v>
      </c>
      <c r="C33" s="1" t="str">
        <v>Monday</v>
      </c>
      <c r="D33" s="11" t="str">
        <v>0</v>
      </c>
      <c r="E33" s="1" t="str">
        <v>Sunday</v>
      </c>
      <c r="F33" s="11" t="str">
        <v>24</v>
      </c>
    </row>
    <row r="34" spans="1:6" x14ac:dyDescent="0.25">
      <c r="A34" s="7" t="s">
        <v>139</v>
      </c>
      <c r="B34" s="11" t="str" cm="1">
        <f t="array" ref="B34:F34">_xlfn.TEXTSPLIT(A34,"-")</f>
        <v>20036</v>
      </c>
      <c r="C34" s="1" t="str">
        <v>Monday</v>
      </c>
      <c r="D34" s="11" t="str">
        <v>0</v>
      </c>
      <c r="E34" s="1" t="str">
        <v>Sunday</v>
      </c>
      <c r="F34" s="11" t="str">
        <v>24</v>
      </c>
    </row>
    <row r="35" spans="1:6" x14ac:dyDescent="0.25">
      <c r="A35" s="7" t="s">
        <v>140</v>
      </c>
      <c r="B35" s="11" t="str" cm="1">
        <f t="array" ref="B35:F35">_xlfn.TEXTSPLIT(A35,"-")</f>
        <v>20038</v>
      </c>
      <c r="C35" s="1" t="str">
        <v>Monday</v>
      </c>
      <c r="D35" s="11" t="str">
        <v>0</v>
      </c>
      <c r="E35" s="1" t="str">
        <v>Sunday</v>
      </c>
      <c r="F35" s="11" t="str">
        <v>24</v>
      </c>
    </row>
    <row r="36" spans="1:6" x14ac:dyDescent="0.25">
      <c r="A36" s="7" t="s">
        <v>141</v>
      </c>
      <c r="B36" s="11" t="str" cm="1">
        <f t="array" ref="B36:F36">_xlfn.TEXTSPLIT(A36,"-")</f>
        <v>20040</v>
      </c>
      <c r="C36" s="1" t="str">
        <v>Monday</v>
      </c>
      <c r="D36" s="11" t="str">
        <v>0</v>
      </c>
      <c r="E36" s="1" t="str">
        <v>Sunday</v>
      </c>
      <c r="F36" s="11" t="str">
        <v>24</v>
      </c>
    </row>
    <row r="37" spans="1:6" x14ac:dyDescent="0.25">
      <c r="A37" s="7" t="s">
        <v>142</v>
      </c>
      <c r="B37" s="11" t="str" cm="1">
        <f t="array" ref="B37:F37">_xlfn.TEXTSPLIT(A37,"-")</f>
        <v>20042</v>
      </c>
      <c r="C37" s="1" t="str">
        <v>Monday</v>
      </c>
      <c r="D37" s="11" t="str">
        <v>0</v>
      </c>
      <c r="E37" s="1" t="str">
        <v>Sunday</v>
      </c>
      <c r="F37" s="11" t="str">
        <v>24</v>
      </c>
    </row>
    <row r="38" spans="1:6" x14ac:dyDescent="0.25">
      <c r="A38" s="7" t="s">
        <v>143</v>
      </c>
      <c r="B38" s="11" t="str" cm="1">
        <f t="array" ref="B38:F38">_xlfn.TEXTSPLIT(A38,"-")</f>
        <v>20044</v>
      </c>
      <c r="C38" s="1" t="str">
        <v>Monday</v>
      </c>
      <c r="D38" s="11" t="str">
        <v>0</v>
      </c>
      <c r="E38" s="1" t="str">
        <v>Sunday</v>
      </c>
      <c r="F38" s="11" t="str">
        <v>24</v>
      </c>
    </row>
    <row r="39" spans="1:6" x14ac:dyDescent="0.25">
      <c r="A39" s="7" t="s">
        <v>144</v>
      </c>
      <c r="B39" s="11" t="str" cm="1">
        <f t="array" ref="B39:F39">_xlfn.TEXTSPLIT(A39,"-")</f>
        <v>20046</v>
      </c>
      <c r="C39" s="1" t="str">
        <v>Monday</v>
      </c>
      <c r="D39" s="11" t="str">
        <v>0</v>
      </c>
      <c r="E39" s="1" t="str">
        <v>Sunday</v>
      </c>
      <c r="F39" s="11" t="str">
        <v>24</v>
      </c>
    </row>
    <row r="40" spans="1:6" x14ac:dyDescent="0.25">
      <c r="A40" s="7" t="s">
        <v>145</v>
      </c>
      <c r="B40" s="11" t="str" cm="1">
        <f t="array" ref="B40:F40">_xlfn.TEXTSPLIT(A40,"-")</f>
        <v>20048</v>
      </c>
      <c r="C40" s="1" t="str">
        <v>Monday</v>
      </c>
      <c r="D40" s="11" t="str">
        <v>0</v>
      </c>
      <c r="E40" s="1" t="str">
        <v>Sunday</v>
      </c>
      <c r="F40" s="11" t="str">
        <v>24</v>
      </c>
    </row>
    <row r="41" spans="1:6" x14ac:dyDescent="0.25">
      <c r="A41" s="7" t="s">
        <v>146</v>
      </c>
      <c r="B41" s="11" t="str" cm="1">
        <f t="array" ref="B41:F41">_xlfn.TEXTSPLIT(A41,"-")</f>
        <v>20050</v>
      </c>
      <c r="C41" s="1" t="str">
        <v>Monday</v>
      </c>
      <c r="D41" s="11" t="str">
        <v>0</v>
      </c>
      <c r="E41" s="1" t="str">
        <v>Sunday</v>
      </c>
      <c r="F41" s="11" t="str">
        <v>24</v>
      </c>
    </row>
    <row r="42" spans="1:6" x14ac:dyDescent="0.25">
      <c r="A42" s="7" t="s">
        <v>147</v>
      </c>
      <c r="B42" s="11" t="str" cm="1">
        <f t="array" ref="B42:F42">_xlfn.TEXTSPLIT(A42,"-")</f>
        <v>20052</v>
      </c>
      <c r="C42" s="1" t="str">
        <v>Monday</v>
      </c>
      <c r="D42" s="11" t="str">
        <v>0</v>
      </c>
      <c r="E42" s="1" t="str">
        <v>Sunday</v>
      </c>
      <c r="F42" s="11" t="str">
        <v>24</v>
      </c>
    </row>
    <row r="43" spans="1:6" x14ac:dyDescent="0.25">
      <c r="A43" s="7" t="s">
        <v>148</v>
      </c>
      <c r="B43" s="11" t="str" cm="1">
        <f t="array" ref="B43:F43">_xlfn.TEXTSPLIT(A43,"-")</f>
        <v>20054</v>
      </c>
      <c r="C43" s="1" t="str">
        <v>Monday</v>
      </c>
      <c r="D43" s="11" t="str">
        <v>0</v>
      </c>
      <c r="E43" s="1" t="str">
        <v>Sunday</v>
      </c>
      <c r="F43" s="11" t="str">
        <v>24</v>
      </c>
    </row>
    <row r="44" spans="1:6" x14ac:dyDescent="0.25">
      <c r="A44" s="7" t="s">
        <v>149</v>
      </c>
      <c r="B44" s="11" t="str" cm="1">
        <f t="array" ref="B44:F44">_xlfn.TEXTSPLIT(A44,"-")</f>
        <v>20058</v>
      </c>
      <c r="C44" s="1" t="str">
        <v>Monday</v>
      </c>
      <c r="D44" s="11" t="str">
        <v>0</v>
      </c>
      <c r="E44" s="1" t="str">
        <v>Sunday</v>
      </c>
      <c r="F44" s="11" t="str">
        <v>24</v>
      </c>
    </row>
    <row r="45" spans="1:6" x14ac:dyDescent="0.25">
      <c r="A45" s="7" t="s">
        <v>150</v>
      </c>
      <c r="B45" s="11" t="str" cm="1">
        <f t="array" ref="B45:F45">_xlfn.TEXTSPLIT(A45,"-")</f>
        <v>20060</v>
      </c>
      <c r="C45" s="1" t="str">
        <v>Monday</v>
      </c>
      <c r="D45" s="11" t="str">
        <v>0</v>
      </c>
      <c r="E45" s="1" t="str">
        <v>Sunday</v>
      </c>
      <c r="F45" s="11" t="str">
        <v>24</v>
      </c>
    </row>
    <row r="46" spans="1:6" x14ac:dyDescent="0.25">
      <c r="A46" s="7" t="s">
        <v>112</v>
      </c>
      <c r="B46" s="11" t="str" cm="1">
        <f t="array" ref="B46:F46">_xlfn.TEXTSPLIT(A46,"-")</f>
        <v>21000</v>
      </c>
      <c r="C46" s="1" t="str">
        <v>Monday</v>
      </c>
      <c r="D46" s="11" t="str">
        <v>0</v>
      </c>
      <c r="E46" s="1" t="str">
        <v>Sunday</v>
      </c>
      <c r="F46" s="11" t="str">
        <v>24</v>
      </c>
    </row>
    <row r="47" spans="1:6" x14ac:dyDescent="0.25">
      <c r="A47" s="7" t="s">
        <v>113</v>
      </c>
      <c r="B47" s="11" t="str" cm="1">
        <f t="array" ref="B47:F47">_xlfn.TEXTSPLIT(A47,"-")</f>
        <v>21002</v>
      </c>
      <c r="C47" s="1" t="str">
        <v>Monday</v>
      </c>
      <c r="D47" s="11" t="str">
        <v>0</v>
      </c>
      <c r="E47" s="1" t="str">
        <v>Sunday</v>
      </c>
      <c r="F47" s="11" t="str">
        <v>24</v>
      </c>
    </row>
    <row r="48" spans="1:6" x14ac:dyDescent="0.25">
      <c r="A48" s="7" t="s">
        <v>114</v>
      </c>
      <c r="B48" s="11" t="str" cm="1">
        <f t="array" ref="B48:F48">_xlfn.TEXTSPLIT(A48,"-")</f>
        <v>21004</v>
      </c>
      <c r="C48" s="1" t="str">
        <v>Monday</v>
      </c>
      <c r="D48" s="11" t="str">
        <v>0</v>
      </c>
      <c r="E48" s="1" t="str">
        <v>Sunday</v>
      </c>
      <c r="F48" s="11" t="str">
        <v>24</v>
      </c>
    </row>
    <row r="49" spans="1:6" x14ac:dyDescent="0.25">
      <c r="A49" s="7" t="s">
        <v>115</v>
      </c>
      <c r="B49" s="11" t="str" cm="1">
        <f t="array" ref="B49:F49">_xlfn.TEXTSPLIT(A49,"-")</f>
        <v>21006</v>
      </c>
      <c r="C49" s="1" t="str">
        <v>Monday</v>
      </c>
      <c r="D49" s="11" t="str">
        <v>0</v>
      </c>
      <c r="E49" s="1" t="str">
        <v>Sunday</v>
      </c>
      <c r="F49" s="11" t="str">
        <v>24</v>
      </c>
    </row>
    <row r="50" spans="1:6" x14ac:dyDescent="0.25">
      <c r="A50" s="7" t="s">
        <v>116</v>
      </c>
      <c r="B50" s="11" t="str" cm="1">
        <f t="array" ref="B50:F50">_xlfn.TEXTSPLIT(A50,"-")</f>
        <v>21008</v>
      </c>
      <c r="C50" s="1" t="str">
        <v>Monday</v>
      </c>
      <c r="D50" s="11" t="str">
        <v>0</v>
      </c>
      <c r="E50" s="1" t="str">
        <v>Sunday</v>
      </c>
      <c r="F50" s="11" t="str">
        <v>24</v>
      </c>
    </row>
    <row r="51" spans="1:6" x14ac:dyDescent="0.25">
      <c r="A51" s="7" t="s">
        <v>117</v>
      </c>
      <c r="B51" s="11" t="str" cm="1">
        <f t="array" ref="B51:F51">_xlfn.TEXTSPLIT(A51,"-")</f>
        <v>21010</v>
      </c>
      <c r="C51" s="1" t="str">
        <v>Monday</v>
      </c>
      <c r="D51" s="11" t="str">
        <v>0</v>
      </c>
      <c r="E51" s="1" t="str">
        <v>Sunday</v>
      </c>
      <c r="F51" s="11" t="str">
        <v>24</v>
      </c>
    </row>
    <row r="52" spans="1:6" x14ac:dyDescent="0.25">
      <c r="A52" s="7" t="s">
        <v>118</v>
      </c>
      <c r="B52" s="11" t="str" cm="1">
        <f t="array" ref="B52:F52">_xlfn.TEXTSPLIT(A52,"-")</f>
        <v>21012</v>
      </c>
      <c r="C52" s="1" t="str">
        <v>Monday</v>
      </c>
      <c r="D52" s="11" t="str">
        <v>0</v>
      </c>
      <c r="E52" s="1" t="str">
        <v>Sunday</v>
      </c>
      <c r="F52" s="11" t="str">
        <v>24</v>
      </c>
    </row>
    <row r="53" spans="1:6" x14ac:dyDescent="0.25">
      <c r="A53" s="7" t="s">
        <v>119</v>
      </c>
      <c r="B53" s="11" t="str" cm="1">
        <f t="array" ref="B53:F53">_xlfn.TEXTSPLIT(A53,"-")</f>
        <v>21014</v>
      </c>
      <c r="C53" s="1" t="str">
        <v>Monday</v>
      </c>
      <c r="D53" s="11" t="str">
        <v>0</v>
      </c>
      <c r="E53" s="1" t="str">
        <v>Sunday</v>
      </c>
      <c r="F53" s="11" t="str">
        <v>24</v>
      </c>
    </row>
    <row r="54" spans="1:6" x14ac:dyDescent="0.25">
      <c r="A54" s="9" t="s">
        <v>120</v>
      </c>
      <c r="B54" s="11" t="str" cm="1">
        <f t="array" ref="B54:F54">_xlfn.TEXTSPLIT(A54,"-")</f>
        <v>21016</v>
      </c>
      <c r="C54" s="1" t="str">
        <v>Monday</v>
      </c>
      <c r="D54" s="12" t="str">
        <v>0</v>
      </c>
      <c r="E54" s="1" t="str">
        <v>Sunday</v>
      </c>
      <c r="F54" s="12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61.66406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153</v>
      </c>
      <c r="B7" s="1" t="s">
        <v>181</v>
      </c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>
        <v>20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>
        <v>20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>
        <v>20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>
        <v>20</v>
      </c>
    </row>
    <row r="22" spans="1:3" ht="15" x14ac:dyDescent="0.2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1" sqref="B1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/>
    </row>
    <row r="24" spans="1:14" ht="15" x14ac:dyDescent="0.25">
      <c r="A24" s="7">
        <v>10100</v>
      </c>
      <c r="B24" s="11">
        <v>10104</v>
      </c>
      <c r="C24" s="43"/>
    </row>
    <row r="25" spans="1:14" ht="15" x14ac:dyDescent="0.25">
      <c r="A25" s="7">
        <v>10108</v>
      </c>
      <c r="B25" s="11">
        <v>10102</v>
      </c>
      <c r="C25" s="43"/>
    </row>
    <row r="26" spans="1:14" ht="15" x14ac:dyDescent="0.25">
      <c r="A26" s="7">
        <v>10100</v>
      </c>
      <c r="B26" s="11">
        <v>10106</v>
      </c>
      <c r="C26" s="43"/>
    </row>
    <row r="27" spans="1:14" ht="15" x14ac:dyDescent="0.25">
      <c r="A27" s="7">
        <v>10108</v>
      </c>
      <c r="B27" s="11">
        <v>10110</v>
      </c>
      <c r="C27" s="43"/>
    </row>
    <row r="28" spans="1:14" ht="15" x14ac:dyDescent="0.25">
      <c r="A28" s="7">
        <v>10102</v>
      </c>
      <c r="B28" s="11">
        <v>10104</v>
      </c>
      <c r="C28" s="43"/>
    </row>
    <row r="29" spans="1:14" ht="15" x14ac:dyDescent="0.25">
      <c r="A29" s="7">
        <v>10106</v>
      </c>
      <c r="B29" s="11">
        <v>10108</v>
      </c>
      <c r="C29" s="43"/>
    </row>
    <row r="30" spans="1:14" ht="15" x14ac:dyDescent="0.25">
      <c r="A30" s="7">
        <v>10102</v>
      </c>
      <c r="B30" s="11">
        <v>10106</v>
      </c>
      <c r="C30" s="43"/>
    </row>
    <row r="31" spans="1:14" ht="15" x14ac:dyDescent="0.25">
      <c r="A31" s="7">
        <v>10110</v>
      </c>
      <c r="B31" s="11">
        <v>10114</v>
      </c>
      <c r="C31" s="43"/>
    </row>
    <row r="32" spans="1:14" ht="15" x14ac:dyDescent="0.25">
      <c r="A32" s="7">
        <v>10104</v>
      </c>
      <c r="B32" s="11">
        <v>10106</v>
      </c>
      <c r="C32" s="43"/>
    </row>
    <row r="33" spans="1:3" ht="15" x14ac:dyDescent="0.25">
      <c r="A33" s="7">
        <v>10110</v>
      </c>
      <c r="B33" s="11">
        <v>10112</v>
      </c>
      <c r="C33" s="43"/>
    </row>
    <row r="34" spans="1:3" ht="15" x14ac:dyDescent="0.25">
      <c r="A34" s="7">
        <v>10100</v>
      </c>
      <c r="B34" s="11">
        <v>10114</v>
      </c>
      <c r="C34" s="43"/>
    </row>
    <row r="35" spans="1:3" ht="15" x14ac:dyDescent="0.25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Ashutosh Pawar</cp:lastModifiedBy>
  <dcterms:created xsi:type="dcterms:W3CDTF">2015-02-10T17:33:11Z</dcterms:created>
  <dcterms:modified xsi:type="dcterms:W3CDTF">2023-12-10T17:14:33Z</dcterms:modified>
</cp:coreProperties>
</file>